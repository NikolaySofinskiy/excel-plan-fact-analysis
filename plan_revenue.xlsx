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Оформление Github\Excel\"/>
    </mc:Choice>
  </mc:AlternateContent>
  <xr:revisionPtr revIDLastSave="0" documentId="13_ncr:1_{D1735089-6427-41F6-813D-28725A1BF8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Re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O15" i="1"/>
  <c r="O16" i="1"/>
  <c r="O17" i="1"/>
  <c r="D18" i="1"/>
  <c r="E18" i="1"/>
  <c r="F18" i="1"/>
  <c r="G18" i="1"/>
  <c r="H18" i="1"/>
  <c r="I18" i="1"/>
  <c r="J18" i="1"/>
  <c r="K18" i="1"/>
  <c r="L18" i="1"/>
  <c r="M18" i="1"/>
  <c r="N18" i="1"/>
  <c r="O9" i="1"/>
  <c r="O10" i="1"/>
  <c r="O11" i="1"/>
  <c r="D12" i="1"/>
  <c r="E12" i="1"/>
  <c r="F12" i="1"/>
  <c r="G12" i="1"/>
  <c r="H12" i="1"/>
  <c r="I12" i="1"/>
  <c r="J12" i="1"/>
  <c r="K12" i="1"/>
  <c r="L12" i="1"/>
  <c r="M12" i="1"/>
  <c r="N12" i="1"/>
  <c r="D6" i="1"/>
  <c r="E6" i="1"/>
  <c r="F6" i="1"/>
  <c r="G6" i="1"/>
  <c r="H6" i="1"/>
  <c r="I6" i="1"/>
  <c r="J6" i="1"/>
  <c r="K6" i="1"/>
  <c r="L6" i="1"/>
  <c r="M6" i="1"/>
  <c r="N6" i="1"/>
  <c r="O3" i="1"/>
  <c r="O4" i="1"/>
  <c r="O5" i="1"/>
  <c r="C18" i="1"/>
  <c r="O14" i="1"/>
  <c r="C12" i="1"/>
  <c r="O8" i="1"/>
  <c r="O2" i="1"/>
  <c r="O6" i="1" l="1"/>
  <c r="O18" i="1"/>
  <c r="O12" i="1"/>
</calcChain>
</file>

<file path=xl/sharedStrings.xml><?xml version="1.0" encoding="utf-8"?>
<sst xmlns="http://schemas.openxmlformats.org/spreadsheetml/2006/main" count="33" uniqueCount="22">
  <si>
    <t>Город</t>
  </si>
  <si>
    <t>Товар</t>
  </si>
  <si>
    <t>ИТОГО</t>
  </si>
  <si>
    <t>Москва</t>
  </si>
  <si>
    <t>Санкт-Петербург</t>
  </si>
  <si>
    <t>Краснодар</t>
  </si>
  <si>
    <t>Футболка хлопковая</t>
  </si>
  <si>
    <t>Кроссовки беговые</t>
  </si>
  <si>
    <t>Куртка зимняя</t>
  </si>
  <si>
    <t>Джинсы классические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</si>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</sst>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5">
    <xf numFmtId="0" fontId="0" fillId="0" borderId="0" xfId="0"/>
    <xf numFmtId="0" fontId="3" fillId="3" borderId="3" xfId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0" fontId="4" fillId="3" borderId="0" xfId="0" applyFont="1" applyFill="1" applyAlignment="1">
      <alignment horizontal="right"/>
    </xf>
    <xf numFmtId="3" fontId="5" fillId="3" borderId="0" xfId="0" applyNumberFormat="1" applyFont="1" applyFill="1"/>
    <xf numFmtId="3" fontId="4" fillId="2" borderId="5" xfId="0" applyNumberFormat="1" applyFont="1" applyFill="1" applyBorder="1"/>
    <xf numFmtId="0" fontId="6" fillId="2" borderId="2" xfId="2" applyFont="1" applyFill="1"/>
    <xf numFmtId="3" fontId="6" fillId="2" borderId="2" xfId="2" applyNumberFormat="1" applyFont="1" applyFill="1"/>
    <xf numFmtId="0" fontId="4" fillId="0" borderId="0" xfId="0" applyFont="1"/>
    <xf numFmtId="3" fontId="5" fillId="0" borderId="0" xfId="0" applyNumberFormat="1" applyFont="1"/>
    <xf numFmtId="3" fontId="5" fillId="0" borderId="5" xfId="0" applyNumberFormat="1" applyFont="1" applyBorder="1"/>
    <xf numFmtId="3" fontId="6" fillId="2" borderId="6" xfId="2" applyNumberFormat="1" applyFont="1" applyFill="1" applyBorder="1"/>
    <xf numFmtId="0" fontId="4" fillId="3" borderId="0" xfId="0" applyFont="1" applyFill="1"/>
    <xf numFmtId="0" fontId="5" fillId="3" borderId="0" xfId="0" applyFont="1" applyFill="1"/>
  </cellXfs>
  <cellStyles count="3">
    <cellStyle name="Заголовок 3" xfId="1" builtinId="18"/>
    <cellStyle name="Итог" xfId="2" builtinId="25"/>
    <cellStyle name="Обычный" xfId="0" builtinId="0"/>
  </cellStyles>
  <dxfs count="17">
    <dxf>
      <font>
        <strike val="0"/>
        <outline val="0"/>
        <shadow val="0"/>
        <u val="none"/>
        <vertAlign val="baseline"/>
        <sz val="10"/>
        <name val="Calibri"/>
        <family val="2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4" tint="0.59999389629810485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" formatCode="#,##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[$-419]mmmm;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38461-2302-44F9-8235-58568772EE6A}" name="PlanRevenue" displayName="PlanRevenue" ref="A1:O18" totalsRowShown="0" headerRowDxfId="16" headerRowBorderDxfId="15" headerRowCellStyle="Заголовок 3">
  <autoFilter ref="A1:O18" xr:uid="{2FC38461-2302-44F9-8235-58568772EE6A}"/>
  <tableColumns count="15">
    <tableColumn id="1" xr3:uid="{AA8A04BC-70AA-4F55-B1FF-0D8C560AE355}" name="Город" dataDxfId="0"/>
    <tableColumn id="2" xr3:uid="{E3E77C0B-35D5-48EE-924A-013DAE4A773A}" name="Товар" dataDxfId="1"/>
    <tableColumn id="3" xr3:uid="{F7EDC8E3-D848-4F07-8503-574E8554FEFD}" name="Январь" dataDxfId="14"/>
    <tableColumn id="4" xr3:uid="{11650D47-94F0-4B67-BFDF-8715E0932E67}" name="Февраль" dataDxfId="13"/>
    <tableColumn id="5" xr3:uid="{99B43586-2D39-400F-9F6E-4F4FC3EA2B7E}" name="Март" dataDxfId="12"/>
    <tableColumn id="6" xr3:uid="{7CF23A38-6D05-4838-A675-986C5F0044AD}" name="Апрель" dataDxfId="11"/>
    <tableColumn id="7" xr3:uid="{694762E3-0DF3-4C14-B994-08292FDF5A2C}" name="Май" dataDxfId="10"/>
    <tableColumn id="8" xr3:uid="{4B4CCFB1-970F-421B-998C-1BC25C3831F5}" name="Июнь" dataDxfId="9"/>
    <tableColumn id="9" xr3:uid="{5DF77BDB-064A-4FE2-8B35-2FAC73CEA9ED}" name="Июль" dataDxfId="8"/>
    <tableColumn id="10" xr3:uid="{31DF854E-78A9-451F-A17B-814756F2E79B}" name="Август" dataDxfId="7"/>
    <tableColumn id="11" xr3:uid="{D027B63E-0C25-46FF-B9A4-2EFBEFB3B531}" name="Сентябрь" dataDxfId="6"/>
    <tableColumn id="12" xr3:uid="{1712A2F6-6FF0-4EA7-9898-774A92A48759}" name="Октябрь" dataDxfId="5"/>
    <tableColumn id="13" xr3:uid="{779E3EFE-905D-480C-A5FD-5AE0FCB1F96F}" name="Ноябрь" dataDxfId="4"/>
    <tableColumn id="14" xr3:uid="{742B8C39-5EF6-4FC6-BD81-7C478C8BE1E4}" name="Декабрь" dataDxfId="3"/>
    <tableColumn id="15" xr3:uid="{CE8B7657-E2F2-4B32-AE6F-1437A8B39D80}" name="ИТОГО" dataDxfId="2">
      <calculatedColumnFormula>SUM(C2:N2)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115" zoomScaleNormal="115" workbookViewId="0">
      <selection activeCell="M27" sqref="M27"/>
    </sheetView>
  </sheetViews>
  <sheetFormatPr defaultRowHeight="14.4" x14ac:dyDescent="0.3"/>
  <cols>
    <col min="1" max="1" width="17" customWidth="1"/>
    <col min="2" max="2" width="20" customWidth="1"/>
    <col min="3" max="3" width="9.6640625" customWidth="1"/>
    <col min="4" max="4" width="11.109375" customWidth="1"/>
    <col min="5" max="5" width="8.77734375" customWidth="1"/>
    <col min="6" max="6" width="10.77734375" customWidth="1"/>
    <col min="10" max="10" width="10" customWidth="1"/>
    <col min="11" max="11" width="12.5546875" customWidth="1"/>
    <col min="12" max="12" width="10.88671875" customWidth="1"/>
    <col min="13" max="13" width="10.5546875" customWidth="1"/>
    <col min="14" max="14" width="11.6640625" customWidth="1"/>
    <col min="15" max="15" width="12.109375" bestFit="1" customWidth="1"/>
  </cols>
  <sheetData>
    <row r="1" spans="1:15" ht="15" thickBot="1" x14ac:dyDescent="0.35">
      <c r="A1" s="1" t="s">
        <v>0</v>
      </c>
      <c r="B1" s="1" t="s">
        <v>1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3" t="s">
        <v>2</v>
      </c>
    </row>
    <row r="2" spans="1:15" x14ac:dyDescent="0.3">
      <c r="A2" s="13" t="s">
        <v>3</v>
      </c>
      <c r="B2" s="4" t="s">
        <v>6</v>
      </c>
      <c r="C2" s="5">
        <v>2066000</v>
      </c>
      <c r="D2" s="5">
        <v>1655000</v>
      </c>
      <c r="E2" s="5">
        <v>1687000</v>
      </c>
      <c r="F2" s="5">
        <v>2186000</v>
      </c>
      <c r="G2" s="5">
        <v>1508000</v>
      </c>
      <c r="H2" s="5">
        <v>2100000</v>
      </c>
      <c r="I2" s="5">
        <v>2169000</v>
      </c>
      <c r="J2" s="5">
        <v>2070000</v>
      </c>
      <c r="K2" s="5">
        <v>1454000</v>
      </c>
      <c r="L2" s="5">
        <v>2312000</v>
      </c>
      <c r="M2" s="5">
        <v>2555000</v>
      </c>
      <c r="N2" s="5">
        <v>2213000</v>
      </c>
      <c r="O2" s="6">
        <f>SUM(C2:N2)</f>
        <v>23975000</v>
      </c>
    </row>
    <row r="3" spans="1:15" x14ac:dyDescent="0.3">
      <c r="A3" s="14"/>
      <c r="B3" s="4" t="s">
        <v>7</v>
      </c>
      <c r="C3" s="5">
        <v>2985000</v>
      </c>
      <c r="D3" s="5">
        <v>2775000</v>
      </c>
      <c r="E3" s="5">
        <v>2158000</v>
      </c>
      <c r="F3" s="5">
        <v>3118000</v>
      </c>
      <c r="G3" s="5">
        <v>2113000</v>
      </c>
      <c r="H3" s="5">
        <v>2119000</v>
      </c>
      <c r="I3" s="5">
        <v>1409000</v>
      </c>
      <c r="J3" s="5">
        <v>1542000</v>
      </c>
      <c r="K3" s="5">
        <v>2565000</v>
      </c>
      <c r="L3" s="5">
        <v>2768000</v>
      </c>
      <c r="M3" s="5">
        <v>1288000</v>
      </c>
      <c r="N3" s="5">
        <v>2354000</v>
      </c>
      <c r="O3" s="6">
        <f t="shared" ref="O3:O5" si="0">SUM(C3:N3)</f>
        <v>27194000</v>
      </c>
    </row>
    <row r="4" spans="1:15" x14ac:dyDescent="0.3">
      <c r="A4" s="14"/>
      <c r="B4" s="4" t="s">
        <v>8</v>
      </c>
      <c r="C4" s="5">
        <v>1353000</v>
      </c>
      <c r="D4" s="5">
        <v>1398000</v>
      </c>
      <c r="E4" s="5">
        <v>1572000</v>
      </c>
      <c r="F4" s="5">
        <v>2193000</v>
      </c>
      <c r="G4" s="5">
        <v>1117000</v>
      </c>
      <c r="H4" s="5">
        <v>1169000</v>
      </c>
      <c r="I4" s="5">
        <v>1552000</v>
      </c>
      <c r="J4" s="5">
        <v>1516000</v>
      </c>
      <c r="K4" s="5">
        <v>1618000</v>
      </c>
      <c r="L4" s="5">
        <v>1246000</v>
      </c>
      <c r="M4" s="5">
        <v>1540000</v>
      </c>
      <c r="N4" s="5">
        <v>1762000</v>
      </c>
      <c r="O4" s="6">
        <f t="shared" si="0"/>
        <v>18036000</v>
      </c>
    </row>
    <row r="5" spans="1:15" x14ac:dyDescent="0.3">
      <c r="A5" s="14"/>
      <c r="B5" s="4" t="s">
        <v>9</v>
      </c>
      <c r="C5" s="5">
        <v>2006000</v>
      </c>
      <c r="D5" s="5">
        <v>1165000</v>
      </c>
      <c r="E5" s="5">
        <v>1395000</v>
      </c>
      <c r="F5" s="5">
        <v>1937000</v>
      </c>
      <c r="G5" s="5">
        <v>1842000</v>
      </c>
      <c r="H5" s="5">
        <v>1543000</v>
      </c>
      <c r="I5" s="5">
        <v>2398000</v>
      </c>
      <c r="J5" s="5">
        <v>1675000</v>
      </c>
      <c r="K5" s="5">
        <v>2244000</v>
      </c>
      <c r="L5" s="5">
        <v>2133000</v>
      </c>
      <c r="M5" s="5">
        <v>1880000</v>
      </c>
      <c r="N5" s="5">
        <v>1215000</v>
      </c>
      <c r="O5" s="6">
        <f t="shared" si="0"/>
        <v>21433000</v>
      </c>
    </row>
    <row r="6" spans="1:15" ht="15" thickBot="1" x14ac:dyDescent="0.35">
      <c r="A6" s="14"/>
      <c r="B6" s="7" t="s">
        <v>2</v>
      </c>
      <c r="C6" s="8">
        <f>SUM(C2:C5)</f>
        <v>8410000</v>
      </c>
      <c r="D6" s="8">
        <f t="shared" ref="D6:N6" si="1">SUM(D2:D5)</f>
        <v>6993000</v>
      </c>
      <c r="E6" s="8">
        <f t="shared" si="1"/>
        <v>6812000</v>
      </c>
      <c r="F6" s="8">
        <f t="shared" si="1"/>
        <v>9434000</v>
      </c>
      <c r="G6" s="8">
        <f t="shared" si="1"/>
        <v>6580000</v>
      </c>
      <c r="H6" s="8">
        <f t="shared" si="1"/>
        <v>6931000</v>
      </c>
      <c r="I6" s="8">
        <f t="shared" si="1"/>
        <v>7528000</v>
      </c>
      <c r="J6" s="8">
        <f t="shared" si="1"/>
        <v>6803000</v>
      </c>
      <c r="K6" s="8">
        <f t="shared" si="1"/>
        <v>7881000</v>
      </c>
      <c r="L6" s="8">
        <f t="shared" si="1"/>
        <v>8459000</v>
      </c>
      <c r="M6" s="8">
        <f t="shared" si="1"/>
        <v>7263000</v>
      </c>
      <c r="N6" s="8">
        <f t="shared" si="1"/>
        <v>7544000</v>
      </c>
      <c r="O6" s="6">
        <f t="shared" ref="O6" si="2">SUM(C6:N6)</f>
        <v>90638000</v>
      </c>
    </row>
    <row r="7" spans="1:15" ht="15" thickTop="1" x14ac:dyDescent="0.3">
      <c r="A7" s="14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 x14ac:dyDescent="0.3">
      <c r="A8" s="13" t="s">
        <v>4</v>
      </c>
      <c r="B8" s="4" t="s">
        <v>6</v>
      </c>
      <c r="C8" s="5">
        <v>2263000</v>
      </c>
      <c r="D8" s="5">
        <v>2025000</v>
      </c>
      <c r="E8" s="5">
        <v>2364000</v>
      </c>
      <c r="F8" s="5">
        <v>2350000</v>
      </c>
      <c r="G8" s="5">
        <v>2028000</v>
      </c>
      <c r="H8" s="5">
        <v>1656000</v>
      </c>
      <c r="I8" s="5">
        <v>2103000</v>
      </c>
      <c r="J8" s="5">
        <v>2230000</v>
      </c>
      <c r="K8" s="5">
        <v>1886000</v>
      </c>
      <c r="L8" s="5">
        <v>2602000</v>
      </c>
      <c r="M8" s="5">
        <v>2762000</v>
      </c>
      <c r="N8" s="5">
        <v>2014000</v>
      </c>
      <c r="O8" s="6">
        <f t="shared" ref="O8:O18" si="3">SUM(C8:N8)</f>
        <v>26283000</v>
      </c>
    </row>
    <row r="9" spans="1:15" x14ac:dyDescent="0.3">
      <c r="A9" s="14"/>
      <c r="B9" s="4" t="s">
        <v>7</v>
      </c>
      <c r="C9" s="5">
        <v>2224000</v>
      </c>
      <c r="D9" s="5">
        <v>2100000</v>
      </c>
      <c r="E9" s="5">
        <v>1930000</v>
      </c>
      <c r="F9" s="5">
        <v>983000</v>
      </c>
      <c r="G9" s="5">
        <v>1795000</v>
      </c>
      <c r="H9" s="5">
        <v>2312000</v>
      </c>
      <c r="I9" s="5">
        <v>1978000</v>
      </c>
      <c r="J9" s="5">
        <v>2619000</v>
      </c>
      <c r="K9" s="5">
        <v>1363000</v>
      </c>
      <c r="L9" s="5">
        <v>2722000</v>
      </c>
      <c r="M9" s="5">
        <v>1984000</v>
      </c>
      <c r="N9" s="5">
        <v>1835000</v>
      </c>
      <c r="O9" s="6">
        <f t="shared" si="3"/>
        <v>23845000</v>
      </c>
    </row>
    <row r="10" spans="1:15" x14ac:dyDescent="0.3">
      <c r="A10" s="14"/>
      <c r="B10" s="4" t="s">
        <v>8</v>
      </c>
      <c r="C10" s="5">
        <v>1919000</v>
      </c>
      <c r="D10" s="5">
        <v>1808000</v>
      </c>
      <c r="E10" s="5">
        <v>1532000</v>
      </c>
      <c r="F10" s="5">
        <v>2427000</v>
      </c>
      <c r="G10" s="5">
        <v>2358000</v>
      </c>
      <c r="H10" s="5">
        <v>1825000</v>
      </c>
      <c r="I10" s="5">
        <v>1760000</v>
      </c>
      <c r="J10" s="5">
        <v>2142000</v>
      </c>
      <c r="K10" s="5">
        <v>1774000</v>
      </c>
      <c r="L10" s="5">
        <v>1501000</v>
      </c>
      <c r="M10" s="5">
        <v>1897000</v>
      </c>
      <c r="N10" s="5">
        <v>2964000</v>
      </c>
      <c r="O10" s="6">
        <f t="shared" si="3"/>
        <v>23907000</v>
      </c>
    </row>
    <row r="11" spans="1:15" x14ac:dyDescent="0.3">
      <c r="A11" s="14"/>
      <c r="B11" s="4" t="s">
        <v>9</v>
      </c>
      <c r="C11" s="5">
        <v>1917000</v>
      </c>
      <c r="D11" s="5">
        <v>1817000</v>
      </c>
      <c r="E11" s="5">
        <v>2706000</v>
      </c>
      <c r="F11" s="5">
        <v>2418000</v>
      </c>
      <c r="G11" s="5">
        <v>2754000</v>
      </c>
      <c r="H11" s="5">
        <v>2424000</v>
      </c>
      <c r="I11" s="5">
        <v>2086000</v>
      </c>
      <c r="J11" s="5">
        <v>2188000</v>
      </c>
      <c r="K11" s="5">
        <v>2513000</v>
      </c>
      <c r="L11" s="5">
        <v>1771000</v>
      </c>
      <c r="M11" s="5">
        <v>1867000</v>
      </c>
      <c r="N11" s="5">
        <v>2047000</v>
      </c>
      <c r="O11" s="6">
        <f t="shared" si="3"/>
        <v>26508000</v>
      </c>
    </row>
    <row r="12" spans="1:15" ht="15" thickBot="1" x14ac:dyDescent="0.35">
      <c r="A12" s="14"/>
      <c r="B12" s="7" t="s">
        <v>2</v>
      </c>
      <c r="C12" s="8">
        <f>SUM(C8:C11)</f>
        <v>8323000</v>
      </c>
      <c r="D12" s="8">
        <f t="shared" ref="D12:N12" si="4">SUM(D8:D11)</f>
        <v>7750000</v>
      </c>
      <c r="E12" s="8">
        <f t="shared" si="4"/>
        <v>8532000</v>
      </c>
      <c r="F12" s="8">
        <f t="shared" si="4"/>
        <v>8178000</v>
      </c>
      <c r="G12" s="8">
        <f t="shared" si="4"/>
        <v>8935000</v>
      </c>
      <c r="H12" s="8">
        <f t="shared" si="4"/>
        <v>8217000</v>
      </c>
      <c r="I12" s="8">
        <f t="shared" si="4"/>
        <v>7927000</v>
      </c>
      <c r="J12" s="8">
        <f t="shared" si="4"/>
        <v>9179000</v>
      </c>
      <c r="K12" s="8">
        <f t="shared" si="4"/>
        <v>7536000</v>
      </c>
      <c r="L12" s="8">
        <f t="shared" si="4"/>
        <v>8596000</v>
      </c>
      <c r="M12" s="8">
        <f t="shared" si="4"/>
        <v>8510000</v>
      </c>
      <c r="N12" s="8">
        <f t="shared" si="4"/>
        <v>8860000</v>
      </c>
      <c r="O12" s="12">
        <f t="shared" si="3"/>
        <v>100543000</v>
      </c>
    </row>
    <row r="13" spans="1:15" ht="15" thickTop="1" x14ac:dyDescent="0.3">
      <c r="A13" s="14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 x14ac:dyDescent="0.3">
      <c r="A14" s="13" t="s">
        <v>5</v>
      </c>
      <c r="B14" s="4" t="s">
        <v>6</v>
      </c>
      <c r="C14" s="5">
        <v>2051000</v>
      </c>
      <c r="D14" s="5">
        <v>1816000</v>
      </c>
      <c r="E14" s="5">
        <v>1837000</v>
      </c>
      <c r="F14" s="5">
        <v>2032000</v>
      </c>
      <c r="G14" s="5">
        <v>2579000</v>
      </c>
      <c r="H14" s="5">
        <v>2108000</v>
      </c>
      <c r="I14" s="5">
        <v>2622000</v>
      </c>
      <c r="J14" s="5">
        <v>2030000</v>
      </c>
      <c r="K14" s="5">
        <v>1045000</v>
      </c>
      <c r="L14" s="5">
        <v>2028000</v>
      </c>
      <c r="M14" s="5">
        <v>3332000</v>
      </c>
      <c r="N14" s="5">
        <v>2469000</v>
      </c>
      <c r="O14" s="6">
        <f t="shared" si="3"/>
        <v>25949000</v>
      </c>
    </row>
    <row r="15" spans="1:15" x14ac:dyDescent="0.3">
      <c r="A15" s="14"/>
      <c r="B15" s="4" t="s">
        <v>7</v>
      </c>
      <c r="C15" s="5">
        <v>1768000</v>
      </c>
      <c r="D15" s="5">
        <v>1806000</v>
      </c>
      <c r="E15" s="5">
        <v>2161000</v>
      </c>
      <c r="F15" s="5">
        <v>2457000</v>
      </c>
      <c r="G15" s="5">
        <v>2542000</v>
      </c>
      <c r="H15" s="5">
        <v>2851000</v>
      </c>
      <c r="I15" s="5">
        <v>2013000</v>
      </c>
      <c r="J15" s="5">
        <v>2466000</v>
      </c>
      <c r="K15" s="5">
        <v>1763000</v>
      </c>
      <c r="L15" s="5">
        <v>2426000</v>
      </c>
      <c r="M15" s="5">
        <v>2723000</v>
      </c>
      <c r="N15" s="5">
        <v>1525000</v>
      </c>
      <c r="O15" s="6">
        <f t="shared" si="3"/>
        <v>26501000</v>
      </c>
    </row>
    <row r="16" spans="1:15" x14ac:dyDescent="0.3">
      <c r="A16" s="14"/>
      <c r="B16" s="4" t="s">
        <v>8</v>
      </c>
      <c r="C16" s="5">
        <v>1825000</v>
      </c>
      <c r="D16" s="5">
        <v>1873000</v>
      </c>
      <c r="E16" s="5">
        <v>1496000</v>
      </c>
      <c r="F16" s="5">
        <v>1448000</v>
      </c>
      <c r="G16" s="5">
        <v>2485000</v>
      </c>
      <c r="H16" s="5">
        <v>2307000</v>
      </c>
      <c r="I16" s="5">
        <v>2270000</v>
      </c>
      <c r="J16" s="5">
        <v>1834000</v>
      </c>
      <c r="K16" s="5">
        <v>1668000</v>
      </c>
      <c r="L16" s="5">
        <v>2236000</v>
      </c>
      <c r="M16" s="5">
        <v>2231000</v>
      </c>
      <c r="N16" s="5">
        <v>1772000</v>
      </c>
      <c r="O16" s="6">
        <f t="shared" si="3"/>
        <v>23445000</v>
      </c>
    </row>
    <row r="17" spans="1:15" x14ac:dyDescent="0.3">
      <c r="A17" s="14"/>
      <c r="B17" s="4" t="s">
        <v>9</v>
      </c>
      <c r="C17" s="5">
        <v>1940000</v>
      </c>
      <c r="D17" s="5">
        <v>1824000</v>
      </c>
      <c r="E17" s="5">
        <v>2289000</v>
      </c>
      <c r="F17" s="5">
        <v>2562000</v>
      </c>
      <c r="G17" s="5">
        <v>1109000</v>
      </c>
      <c r="H17" s="5">
        <v>1714000</v>
      </c>
      <c r="I17" s="5">
        <v>2371000</v>
      </c>
      <c r="J17" s="5">
        <v>1862000</v>
      </c>
      <c r="K17" s="5">
        <v>1811000</v>
      </c>
      <c r="L17" s="5">
        <v>2023000</v>
      </c>
      <c r="M17" s="5">
        <v>2142000</v>
      </c>
      <c r="N17" s="5">
        <v>1769000</v>
      </c>
      <c r="O17" s="6">
        <f t="shared" si="3"/>
        <v>23416000</v>
      </c>
    </row>
    <row r="18" spans="1:15" ht="15" thickBot="1" x14ac:dyDescent="0.35">
      <c r="A18" s="14"/>
      <c r="B18" s="7" t="s">
        <v>2</v>
      </c>
      <c r="C18" s="8">
        <f>SUM(C14:C17)</f>
        <v>7584000</v>
      </c>
      <c r="D18" s="8">
        <f t="shared" ref="D18:N18" si="5">SUM(D14:D17)</f>
        <v>7319000</v>
      </c>
      <c r="E18" s="8">
        <f t="shared" si="5"/>
        <v>7783000</v>
      </c>
      <c r="F18" s="8">
        <f t="shared" si="5"/>
        <v>8499000</v>
      </c>
      <c r="G18" s="8">
        <f t="shared" si="5"/>
        <v>8715000</v>
      </c>
      <c r="H18" s="8">
        <f t="shared" si="5"/>
        <v>8980000</v>
      </c>
      <c r="I18" s="8">
        <f t="shared" si="5"/>
        <v>9276000</v>
      </c>
      <c r="J18" s="8">
        <f t="shared" si="5"/>
        <v>8192000</v>
      </c>
      <c r="K18" s="8">
        <f t="shared" si="5"/>
        <v>6287000</v>
      </c>
      <c r="L18" s="8">
        <f t="shared" si="5"/>
        <v>8713000</v>
      </c>
      <c r="M18" s="8">
        <f t="shared" si="5"/>
        <v>10428000</v>
      </c>
      <c r="N18" s="8">
        <f t="shared" si="5"/>
        <v>7535000</v>
      </c>
      <c r="O18" s="12">
        <f t="shared" si="3"/>
        <v>99311000</v>
      </c>
    </row>
    <row r="19" spans="1:15" ht="15" thickTop="1" x14ac:dyDescent="0.3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 Софинский</cp:lastModifiedBy>
  <dcterms:created xsi:type="dcterms:W3CDTF">2015-06-05T18:17:20Z</dcterms:created>
  <dcterms:modified xsi:type="dcterms:W3CDTF">2026-10-05T14:08:23Z</dcterms:modified>
</cp:coreProperties>
</file>